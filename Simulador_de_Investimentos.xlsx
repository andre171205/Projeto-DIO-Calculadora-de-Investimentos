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07FC64D9-33F4-4F75-80FC-71797B1E9292}" xr6:coauthVersionLast="47" xr6:coauthVersionMax="47" xr10:uidLastSave="{00000000-0000-0000-0000-000000000000}"/>
  <bookViews>
    <workbookView xWindow="-108" yWindow="-108" windowWidth="23256" windowHeight="12456" tabRatio="653" xr2:uid="{2BDCCDF0-6679-4A66-BD97-5387F66B9F4F}"/>
  </bookViews>
  <sheets>
    <sheet name="APP" sheetId="1" r:id="rId1"/>
    <sheet name="Planilha2" sheetId="2" r:id="rId2"/>
  </sheets>
  <definedNames>
    <definedName name="Aporte">APP!$D$16</definedName>
    <definedName name="imposto_renda">APP!$D$62</definedName>
    <definedName name="inflacao">APP!$D$20</definedName>
    <definedName name="lucro_bruto">APP!$D$61</definedName>
    <definedName name="patrimonio">APP!$D$19</definedName>
    <definedName name="patrimonio_liquido">APP!$D$63</definedName>
    <definedName name="perfil">APP!$C$34</definedName>
    <definedName name="qtd_anos">APP!$D$17</definedName>
    <definedName name="rendimento_carteira">APP!$D$11</definedName>
    <definedName name="salario">APP!$D$10</definedName>
    <definedName name="sugestao_investimento">APP!$D$12</definedName>
    <definedName name="taxa_mensal">APP!$D$18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4" i="1" l="1"/>
  <c r="D63" i="1"/>
  <c r="C39" i="1"/>
  <c r="C40" i="1"/>
  <c r="C41" i="1"/>
  <c r="C42" i="1"/>
  <c r="C43" i="1"/>
  <c r="C38" i="1"/>
  <c r="H6" i="2"/>
  <c r="A18" i="2"/>
  <c r="A19" i="2"/>
  <c r="A20" i="2"/>
  <c r="A21" i="2"/>
  <c r="A22" i="2"/>
  <c r="A17" i="2"/>
  <c r="A12" i="2"/>
  <c r="A13" i="2"/>
  <c r="A14" i="2"/>
  <c r="A15" i="2"/>
  <c r="A16" i="2"/>
  <c r="A11" i="2"/>
  <c r="A6" i="2"/>
  <c r="A7" i="2"/>
  <c r="A8" i="2"/>
  <c r="A9" i="2"/>
  <c r="A10" i="2"/>
  <c r="A5" i="2"/>
  <c r="C35" i="1"/>
  <c r="C27" i="1"/>
  <c r="D27" i="1" s="1"/>
  <c r="C28" i="1"/>
  <c r="D28" i="1" s="1"/>
  <c r="C29" i="1"/>
  <c r="D29" i="1" s="1"/>
  <c r="C30" i="1"/>
  <c r="D30" i="1" s="1"/>
  <c r="C26" i="1"/>
  <c r="D26" i="1" s="1"/>
  <c r="D19" i="1"/>
  <c r="D21" i="1" s="1"/>
  <c r="D12" i="1"/>
  <c r="D61" i="1" l="1"/>
  <c r="D62" i="1" s="1"/>
  <c r="D40" i="1"/>
  <c r="D43" i="1"/>
  <c r="D42" i="1"/>
  <c r="D41" i="1"/>
  <c r="D39" i="1"/>
  <c r="D38" i="1"/>
  <c r="D44" i="1" l="1"/>
</calcChain>
</file>

<file path=xl/sharedStrings.xml><?xml version="1.0" encoding="utf-8"?>
<sst xmlns="http://schemas.openxmlformats.org/spreadsheetml/2006/main" count="78" uniqueCount="41">
  <si>
    <t>Taxa de rendimento mensal</t>
  </si>
  <si>
    <t>Patrimônio acumulado</t>
  </si>
  <si>
    <t>Dividendos mensais</t>
  </si>
  <si>
    <t>CALCULADORA DE INVESTIMENTO</t>
  </si>
  <si>
    <t>INVESTIMENTO MENSAL</t>
  </si>
  <si>
    <t xml:space="preserve">Números de anos </t>
  </si>
  <si>
    <t>Investimento por mês</t>
  </si>
  <si>
    <t>Quanto eu teria em 2 anos?</t>
  </si>
  <si>
    <t>Quanto eu teria em 5 anos?</t>
  </si>
  <si>
    <t>Quanto eu teria em 10 anos?</t>
  </si>
  <si>
    <t>Quanto eu teria em 20 anos?</t>
  </si>
  <si>
    <t>Quanto eu teria em 30 anos?</t>
  </si>
  <si>
    <t>CENÁRIOS</t>
  </si>
  <si>
    <t>Rendimento carteira</t>
  </si>
  <si>
    <t>Salário</t>
  </si>
  <si>
    <t>Dividendo</t>
  </si>
  <si>
    <t>CONFIGURAÇÕES</t>
  </si>
  <si>
    <t>Moderado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</si>
  <si>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</si>
  <si>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</si>
  <si>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</si>
  <si>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</si>
  <si>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</si>
  <si>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</si>
  <si>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</si>
  <si>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</si>
  <si>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</si>
  <si>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</si>
  <si>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</si>
  <si>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</si>
  <si>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</si>
  <si>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</si>
  <si>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Agressivo</t>
  </si>
  <si>
    <t>MODERADO-TIJOLO</t>
  </si>
  <si>
    <t>Sugestão de Investimento (30%)</t>
  </si>
  <si>
    <t>Inflação Estimada (ao ano)</t>
  </si>
  <si>
    <t>Descontos</t>
  </si>
  <si>
    <t>Imposto de Renda sobre o Lucro (20%)</t>
  </si>
  <si>
    <t>Lucro Bruto</t>
  </si>
  <si>
    <t>Patrimônio Líquido Nominal</t>
  </si>
  <si>
    <t>Poder de Compra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</si>
</sst>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"/>
      <family val="2"/>
    </font>
    <font>
      <sz val="22"/>
      <color theme="0"/>
      <name val="Segoe UI"/>
      <family val="2"/>
    </font>
    <font>
      <sz val="12"/>
      <color theme="1"/>
      <name val="Segoe UI"/>
      <family val="2"/>
    </font>
    <font>
      <b/>
      <sz val="22"/>
      <color theme="0"/>
      <name val="Segoe UI"/>
      <family val="2"/>
    </font>
    <font>
      <b/>
      <sz val="11"/>
      <color theme="1"/>
      <name val="Segoe UI"/>
      <family val="2"/>
    </font>
    <font>
      <sz val="11"/>
      <color theme="0"/>
      <name val="Segoe UI"/>
      <family val="2"/>
    </font>
    <font>
      <b/>
      <sz val="12"/>
      <color theme="1"/>
      <name val="Segoe UI"/>
      <family val="2"/>
    </font>
    <font>
      <b/>
      <sz val="14"/>
      <color theme="0"/>
      <name val="Segoe UI"/>
      <family val="2"/>
    </font>
    <font>
      <b/>
      <sz val="24"/>
      <color theme="0"/>
      <name val="Segoe UI"/>
      <family val="2"/>
    </font>
    <font>
      <sz val="12"/>
      <color rgb="FF9C5700"/>
      <name val="Aptos Narrow"/>
      <family val="2"/>
      <scheme val="minor"/>
    </font>
    <font>
      <u/>
      <sz val="12"/>
      <color rgb="FF9C5700"/>
      <name val="Aptos Narrow"/>
      <family val="2"/>
      <scheme val="minor"/>
    </font>
    <font>
      <u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hair">
        <color theme="0" tint="-0.14996795556505021"/>
      </right>
      <top style="medium">
        <color theme="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theme="1"/>
      </right>
      <top style="medium">
        <color theme="1"/>
      </top>
      <bottom style="hair">
        <color theme="0" tint="-0.14996795556505021"/>
      </bottom>
      <diagonal/>
    </border>
    <border>
      <left style="medium">
        <color theme="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theme="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theme="1"/>
      </left>
      <right style="hair">
        <color theme="0" tint="-0.14996795556505021"/>
      </right>
      <top style="hair">
        <color theme="0" tint="-0.14996795556505021"/>
      </top>
      <bottom style="medium">
        <color theme="1"/>
      </bottom>
      <diagonal/>
    </border>
    <border>
      <left style="hair">
        <color theme="0" tint="-0.14996795556505021"/>
      </left>
      <right style="medium">
        <color theme="1"/>
      </right>
      <top style="hair">
        <color theme="0" tint="-0.14996795556505021"/>
      </top>
      <bottom style="medium">
        <color theme="1"/>
      </bottom>
      <diagonal/>
    </border>
    <border>
      <left style="medium">
        <color theme="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theme="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theme="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theme="1"/>
      </bottom>
      <diagonal/>
    </border>
    <border>
      <left style="hair">
        <color theme="0" tint="-0.14996795556505021"/>
      </left>
      <right style="medium">
        <color theme="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theme="1"/>
      </right>
      <top style="hair">
        <color theme="0" tint="-0.149967955565050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164" fontId="3" fillId="0" borderId="8" xfId="0" applyNumberFormat="1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0" fontId="7" fillId="0" borderId="10" xfId="1" applyNumberFormat="1" applyFont="1" applyBorder="1" applyAlignment="1">
      <alignment horizontal="center" vertical="center"/>
    </xf>
    <xf numFmtId="0" fontId="8" fillId="0" borderId="0" xfId="0" applyFont="1"/>
    <xf numFmtId="0" fontId="10" fillId="3" borderId="4" xfId="0" applyFont="1" applyFill="1" applyBorder="1" applyAlignment="1">
      <alignment horizontal="center" vertical="center"/>
    </xf>
    <xf numFmtId="0" fontId="2" fillId="2" borderId="0" xfId="2"/>
    <xf numFmtId="0" fontId="9" fillId="6" borderId="13" xfId="0" applyFont="1" applyFill="1" applyBorder="1" applyAlignment="1">
      <alignment horizontal="left" vertical="center"/>
    </xf>
    <xf numFmtId="164" fontId="7" fillId="6" borderId="14" xfId="0" applyNumberFormat="1" applyFont="1" applyFill="1" applyBorder="1" applyAlignment="1">
      <alignment horizontal="center" vertical="center"/>
    </xf>
    <xf numFmtId="164" fontId="7" fillId="6" borderId="20" xfId="0" applyNumberFormat="1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left" vertical="center"/>
    </xf>
    <xf numFmtId="164" fontId="7" fillId="6" borderId="15" xfId="0" applyNumberFormat="1" applyFont="1" applyFill="1" applyBorder="1" applyAlignment="1">
      <alignment horizontal="center" vertical="center"/>
    </xf>
    <xf numFmtId="164" fontId="7" fillId="6" borderId="10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left" vertical="center"/>
    </xf>
    <xf numFmtId="164" fontId="7" fillId="6" borderId="19" xfId="0" applyNumberFormat="1" applyFont="1" applyFill="1" applyBorder="1" applyAlignment="1">
      <alignment horizontal="center" vertical="center"/>
    </xf>
    <xf numFmtId="164" fontId="7" fillId="6" borderId="12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164" fontId="7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2" borderId="0" xfId="2" applyFont="1" applyAlignment="1">
      <alignment horizontal="left" vertical="center"/>
    </xf>
    <xf numFmtId="0" fontId="12" fillId="2" borderId="0" xfId="2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/>
    <xf numFmtId="164" fontId="7" fillId="4" borderId="0" xfId="0" applyNumberFormat="1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2" fillId="2" borderId="0" xfId="1" applyFont="1" applyFill="1"/>
    <xf numFmtId="0" fontId="13" fillId="2" borderId="0" xfId="2" applyFont="1" applyAlignment="1">
      <alignment horizontal="center" vertical="center"/>
    </xf>
    <xf numFmtId="0" fontId="9" fillId="6" borderId="16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left" vertical="center"/>
    </xf>
    <xf numFmtId="10" fontId="7" fillId="6" borderId="21" xfId="1" applyNumberFormat="1" applyFont="1" applyFill="1" applyBorder="1" applyAlignment="1">
      <alignment horizontal="center" vertical="center"/>
    </xf>
    <xf numFmtId="0" fontId="14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left" vertical="center"/>
    </xf>
    <xf numFmtId="0" fontId="9" fillId="6" borderId="1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Distribuição de Aportes em FIIs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068822996492185"/>
          <c:y val="0.12834171679473422"/>
          <c:w val="0.51252606998030004"/>
          <c:h val="0.83935127103648843"/>
        </c:manualLayout>
      </c:layout>
      <c:pieChart>
        <c:varyColors val="1"/>
        <c:ser>
          <c:idx val="0"/>
          <c:order val="0"/>
          <c:tx>
            <c:strRef>
              <c:f>APP!$C$37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54-449B-BCD5-F98C60AA47AF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C54-449B-BCD5-F98C60AA47AF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54-449B-BCD5-F98C60AA47AF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C54-449B-BCD5-F98C60AA47AF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CC-4497-88B0-D55C24B8D689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CC-4497-88B0-D55C24B8D689}"/>
              </c:ext>
            </c:extLst>
          </c:dPt>
          <c:dLbls>
            <c:numFmt formatCode="0%;;;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APP!$B$38:$B$43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APP!$C$38:$C$43</c:f>
              <c:numCache>
                <c:formatCode>0%</c:formatCode>
                <c:ptCount val="6"/>
                <c:pt idx="0">
                  <c:v>0.1</c:v>
                </c:pt>
                <c:pt idx="1">
                  <c:v>0.5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4-449B-BCD5-F98C60AA47AF}"/>
            </c:ext>
          </c:extLst>
        </c:ser>
        <c:ser>
          <c:idx val="1"/>
          <c:order val="1"/>
          <c:tx>
            <c:strRef>
              <c:f>APP!$D$37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CC-4497-88B0-D55C24B8D68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CC-4497-88B0-D55C24B8D68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8CC-4497-88B0-D55C24B8D689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8CC-4497-88B0-D55C24B8D689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8CC-4497-88B0-D55C24B8D689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8CC-4497-88B0-D55C24B8D689}"/>
              </c:ext>
            </c:extLst>
          </c:dPt>
          <c:cat>
            <c:strRef>
              <c:f>APP!$B$38:$B$43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APP!$D$38:$D$43</c:f>
              <c:numCache>
                <c:formatCode>"R$"\ #,##0.00</c:formatCode>
                <c:ptCount val="6"/>
                <c:pt idx="0">
                  <c:v>126</c:v>
                </c:pt>
                <c:pt idx="1">
                  <c:v>630</c:v>
                </c:pt>
                <c:pt idx="2">
                  <c:v>63</c:v>
                </c:pt>
                <c:pt idx="3">
                  <c:v>63</c:v>
                </c:pt>
                <c:pt idx="4">
                  <c:v>252</c:v>
                </c:pt>
                <c:pt idx="5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4-449B-BCD5-F98C60AA4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140138</xdr:rowOff>
    </xdr:from>
    <xdr:to>
      <xdr:col>5</xdr:col>
      <xdr:colOff>407717</xdr:colOff>
      <xdr:row>7</xdr:row>
      <xdr:rowOff>52551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72F02D9-98AA-AC78-3EE6-AED98A1D4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0138"/>
          <a:ext cx="7414614" cy="1383861"/>
        </a:xfrm>
        <a:prstGeom prst="rect">
          <a:avLst/>
        </a:prstGeom>
      </xdr:spPr>
    </xdr:pic>
    <xdr:clientData/>
  </xdr:twoCellAnchor>
  <xdr:twoCellAnchor>
    <xdr:from>
      <xdr:col>1</xdr:col>
      <xdr:colOff>713828</xdr:colOff>
      <xdr:row>44</xdr:row>
      <xdr:rowOff>117366</xdr:rowOff>
    </xdr:from>
    <xdr:to>
      <xdr:col>3</xdr:col>
      <xdr:colOff>635000</xdr:colOff>
      <xdr:row>57</xdr:row>
      <xdr:rowOff>127877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FB9354F-D592-FB77-E31B-2FB7842CE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04CD-769F-4FC7-BE09-FC960EF68388}">
  <sheetPr>
    <pageSetUpPr autoPageBreaks="0"/>
  </sheetPr>
  <dimension ref="A2:U64"/>
  <sheetViews>
    <sheetView showGridLines="0" tabSelected="1" zoomScale="82" zoomScaleNormal="87" workbookViewId="0">
      <selection activeCell="J3" sqref="J3"/>
    </sheetView>
  </sheetViews>
  <sheetFormatPr defaultColWidth="0" defaultRowHeight="16.8" x14ac:dyDescent="0.4"/>
  <cols>
    <col min="1" max="1" width="8.88671875" style="2" customWidth="1"/>
    <col min="2" max="2" width="45.21875" style="2" customWidth="1"/>
    <col min="3" max="3" width="22.5546875" style="2" bestFit="1" customWidth="1"/>
    <col min="4" max="4" width="15.6640625" style="2" customWidth="1"/>
    <col min="5" max="5" width="9.6640625" style="2" customWidth="1"/>
    <col min="6" max="6" width="8.88671875" style="2" customWidth="1"/>
    <col min="7" max="7" width="4.21875" style="2" customWidth="1"/>
    <col min="8" max="8" width="4.109375" style="2" customWidth="1"/>
    <col min="9" max="9" width="3.77734375" style="2" customWidth="1"/>
    <col min="10" max="10" width="3.5546875" style="2" customWidth="1"/>
    <col min="11" max="21" width="8.88671875" style="2" customWidth="1"/>
    <col min="22" max="16384" width="8.88671875" hidden="1"/>
  </cols>
  <sheetData>
    <row r="2" spans="1:10" ht="16.8" customHeight="1" x14ac:dyDescent="0.4">
      <c r="A2" s="56" t="s">
        <v>3</v>
      </c>
      <c r="B2" s="56"/>
      <c r="C2" s="56"/>
      <c r="D2" s="56"/>
      <c r="E2" s="56"/>
    </row>
    <row r="3" spans="1:10" ht="16.8" customHeight="1" x14ac:dyDescent="0.4">
      <c r="A3" s="56"/>
      <c r="B3" s="56"/>
      <c r="C3" s="56"/>
      <c r="D3" s="56"/>
      <c r="E3" s="56"/>
      <c r="J3" s="42"/>
    </row>
    <row r="4" spans="1:10" ht="16.8" customHeight="1" x14ac:dyDescent="0.4">
      <c r="A4" s="56"/>
      <c r="B4" s="56"/>
      <c r="C4" s="56"/>
      <c r="D4" s="56"/>
      <c r="E4" s="56"/>
    </row>
    <row r="5" spans="1:10" ht="16.8" customHeight="1" x14ac:dyDescent="0.4">
      <c r="A5" s="56"/>
      <c r="B5" s="56"/>
      <c r="C5" s="56"/>
      <c r="D5" s="56"/>
      <c r="E5" s="56"/>
    </row>
    <row r="6" spans="1:10" ht="16.8" customHeight="1" x14ac:dyDescent="0.4">
      <c r="A6" s="56"/>
      <c r="B6" s="56"/>
      <c r="C6" s="56"/>
      <c r="D6" s="56"/>
      <c r="E6" s="56"/>
    </row>
    <row r="7" spans="1:10" ht="16.8" customHeight="1" x14ac:dyDescent="0.4">
      <c r="A7" s="56"/>
      <c r="B7" s="56"/>
      <c r="C7" s="56"/>
      <c r="D7" s="56"/>
      <c r="E7" s="56"/>
    </row>
    <row r="9" spans="1:10" ht="33" thickBot="1" x14ac:dyDescent="0.45">
      <c r="B9" s="52" t="s">
        <v>16</v>
      </c>
      <c r="C9" s="53"/>
      <c r="D9" s="53"/>
    </row>
    <row r="10" spans="1:10" ht="24" customHeight="1" x14ac:dyDescent="0.4">
      <c r="B10" s="54" t="s">
        <v>14</v>
      </c>
      <c r="C10" s="55"/>
      <c r="D10" s="3">
        <v>4200</v>
      </c>
    </row>
    <row r="11" spans="1:10" ht="24" customHeight="1" x14ac:dyDescent="0.4">
      <c r="B11" s="50" t="s">
        <v>13</v>
      </c>
      <c r="C11" s="51"/>
      <c r="D11" s="4">
        <v>6.0000000000000001E-3</v>
      </c>
    </row>
    <row r="12" spans="1:10" ht="24" customHeight="1" thickBot="1" x14ac:dyDescent="0.45">
      <c r="B12" s="48" t="s">
        <v>34</v>
      </c>
      <c r="C12" s="49"/>
      <c r="D12" s="19">
        <f>D10*0.3</f>
        <v>1260</v>
      </c>
    </row>
    <row r="13" spans="1:10" ht="30" customHeight="1" x14ac:dyDescent="0.4"/>
    <row r="14" spans="1:10" ht="30" customHeight="1" x14ac:dyDescent="0.4"/>
    <row r="15" spans="1:10" ht="30" customHeight="1" thickBot="1" x14ac:dyDescent="0.45">
      <c r="B15" s="57" t="s">
        <v>4</v>
      </c>
      <c r="C15" s="58"/>
      <c r="D15" s="58"/>
    </row>
    <row r="16" spans="1:10" ht="24" customHeight="1" x14ac:dyDescent="0.4">
      <c r="B16" s="54" t="s">
        <v>6</v>
      </c>
      <c r="C16" s="55"/>
      <c r="D16" s="5">
        <v>1260</v>
      </c>
    </row>
    <row r="17" spans="1:4" ht="24" customHeight="1" x14ac:dyDescent="0.4">
      <c r="B17" s="50" t="s">
        <v>5</v>
      </c>
      <c r="C17" s="51"/>
      <c r="D17" s="6">
        <v>10</v>
      </c>
    </row>
    <row r="18" spans="1:4" ht="24" customHeight="1" x14ac:dyDescent="0.4">
      <c r="B18" s="50" t="s">
        <v>0</v>
      </c>
      <c r="C18" s="51"/>
      <c r="D18" s="7">
        <v>1.0789999999999999E-2</v>
      </c>
    </row>
    <row r="19" spans="1:4" ht="24" customHeight="1" x14ac:dyDescent="0.4">
      <c r="A19" s="8">
        <v>2</v>
      </c>
      <c r="B19" s="46" t="s">
        <v>1</v>
      </c>
      <c r="C19" s="47"/>
      <c r="D19" s="16">
        <f>FV(taxa_mensal, qtd_anos*12, Aporte*(-1))</f>
        <v>306538.10778801696</v>
      </c>
    </row>
    <row r="20" spans="1:4" ht="24" customHeight="1" x14ac:dyDescent="0.4">
      <c r="A20" s="8"/>
      <c r="B20" s="39" t="s">
        <v>35</v>
      </c>
      <c r="C20" s="40"/>
      <c r="D20" s="41">
        <v>4.4999999999999998E-2</v>
      </c>
    </row>
    <row r="21" spans="1:4" ht="24" customHeight="1" thickBot="1" x14ac:dyDescent="0.45">
      <c r="A21" s="8">
        <v>5</v>
      </c>
      <c r="B21" s="48" t="s">
        <v>2</v>
      </c>
      <c r="C21" s="49"/>
      <c r="D21" s="19">
        <f>patrimonio*rendimento_carteira</f>
        <v>1839.2286467281017</v>
      </c>
    </row>
    <row r="22" spans="1:4" x14ac:dyDescent="0.4">
      <c r="A22" s="8">
        <v>10</v>
      </c>
    </row>
    <row r="23" spans="1:4" x14ac:dyDescent="0.4">
      <c r="A23" s="8">
        <v>20</v>
      </c>
    </row>
    <row r="24" spans="1:4" ht="17.399999999999999" thickBot="1" x14ac:dyDescent="0.45">
      <c r="A24" s="8">
        <v>30</v>
      </c>
    </row>
    <row r="25" spans="1:4" ht="32.4" x14ac:dyDescent="0.4">
      <c r="A25" s="8"/>
      <c r="B25" s="43" t="s">
        <v>12</v>
      </c>
      <c r="C25" s="44"/>
      <c r="D25" s="9" t="s">
        <v>15</v>
      </c>
    </row>
    <row r="26" spans="1:4" ht="24" customHeight="1" x14ac:dyDescent="0.4">
      <c r="A26" s="8"/>
      <c r="B26" s="11" t="s">
        <v>7</v>
      </c>
      <c r="C26" s="12">
        <f>FV(taxa_mensal, $A19*12, Aporte*(-1))</f>
        <v>34306.810395032975</v>
      </c>
      <c r="D26" s="13">
        <f>C26*rendimento_carteira</f>
        <v>205.84086237019787</v>
      </c>
    </row>
    <row r="27" spans="1:4" ht="24" customHeight="1" x14ac:dyDescent="0.4">
      <c r="A27" s="8"/>
      <c r="B27" s="14" t="s">
        <v>8</v>
      </c>
      <c r="C27" s="15">
        <f>FV(taxa_mensal, $A21*12, Aporte*(-1))</f>
        <v>105558.91163809443</v>
      </c>
      <c r="D27" s="16">
        <f>C27*rendimento_carteira</f>
        <v>633.35346982856663</v>
      </c>
    </row>
    <row r="28" spans="1:4" ht="24" customHeight="1" x14ac:dyDescent="0.4">
      <c r="B28" s="14" t="s">
        <v>9</v>
      </c>
      <c r="C28" s="15">
        <f>FV(taxa_mensal, $A22*12, Aporte*(-1))</f>
        <v>306538.10778801696</v>
      </c>
      <c r="D28" s="16">
        <f>C28*rendimento_carteira</f>
        <v>1839.2286467281017</v>
      </c>
    </row>
    <row r="29" spans="1:4" ht="24" customHeight="1" x14ac:dyDescent="0.4">
      <c r="B29" s="14" t="s">
        <v>10</v>
      </c>
      <c r="C29" s="15">
        <f>FV(taxa_mensal, $A23*12, Aporte*(-1))</f>
        <v>1417749.9841223215</v>
      </c>
      <c r="D29" s="16">
        <f>C29*rendimento_carteira</f>
        <v>8506.4999047339297</v>
      </c>
    </row>
    <row r="30" spans="1:4" ht="24" customHeight="1" thickBot="1" x14ac:dyDescent="0.45">
      <c r="B30" s="17" t="s">
        <v>11</v>
      </c>
      <c r="C30" s="18">
        <f>FV(taxa_mensal, $A24*12, Aporte*(-1))</f>
        <v>5445933.7653059401</v>
      </c>
      <c r="D30" s="19">
        <f>C30*rendimento_carteira</f>
        <v>32675.602591835643</v>
      </c>
    </row>
    <row r="34" spans="2:4" x14ac:dyDescent="0.4">
      <c r="B34" s="24" t="s">
        <v>20</v>
      </c>
      <c r="C34" s="38" t="s">
        <v>32</v>
      </c>
      <c r="D34" s="25"/>
    </row>
    <row r="35" spans="2:4" x14ac:dyDescent="0.4">
      <c r="B35" s="20" t="s">
        <v>19</v>
      </c>
      <c r="C35" s="21">
        <f>Aporte</f>
        <v>1260</v>
      </c>
      <c r="D35" s="22"/>
    </row>
    <row r="37" spans="2:4" ht="19.2" x14ac:dyDescent="0.4">
      <c r="B37" s="27" t="s">
        <v>21</v>
      </c>
      <c r="C37" s="27" t="s">
        <v>22</v>
      </c>
      <c r="D37" s="27" t="s">
        <v>23</v>
      </c>
    </row>
    <row r="38" spans="2:4" x14ac:dyDescent="0.4">
      <c r="B38" s="23" t="s">
        <v>25</v>
      </c>
      <c r="C38" s="26">
        <f>VLOOKUP(perfil&amp;"-"&amp;B38, Planilha2!$A:$D,4, FALSE )</f>
        <v>0.1</v>
      </c>
      <c r="D38" s="32">
        <f>C38*$C$35</f>
        <v>126</v>
      </c>
    </row>
    <row r="39" spans="2:4" x14ac:dyDescent="0.4">
      <c r="B39" s="23" t="s">
        <v>24</v>
      </c>
      <c r="C39" s="26">
        <f>VLOOKUP(perfil&amp;"-"&amp;B39, Planilha2!$A:$D,4, FALSE )</f>
        <v>0.5</v>
      </c>
      <c r="D39" s="32">
        <f t="shared" ref="D39:D43" si="0">C39*$C$35</f>
        <v>630</v>
      </c>
    </row>
    <row r="40" spans="2:4" x14ac:dyDescent="0.4">
      <c r="B40" s="23" t="s">
        <v>26</v>
      </c>
      <c r="C40" s="26">
        <f>VLOOKUP(perfil&amp;"-"&amp;B40, Planilha2!$A:$D,4, FALSE )</f>
        <v>0.05</v>
      </c>
      <c r="D40" s="32">
        <f t="shared" si="0"/>
        <v>63</v>
      </c>
    </row>
    <row r="41" spans="2:4" x14ac:dyDescent="0.4">
      <c r="B41" s="23" t="s">
        <v>27</v>
      </c>
      <c r="C41" s="26">
        <f>VLOOKUP(perfil&amp;"-"&amp;B41, Planilha2!$A:$D,4, FALSE )</f>
        <v>0.05</v>
      </c>
      <c r="D41" s="32">
        <f t="shared" si="0"/>
        <v>63</v>
      </c>
    </row>
    <row r="42" spans="2:4" x14ac:dyDescent="0.4">
      <c r="B42" s="23" t="s">
        <v>28</v>
      </c>
      <c r="C42" s="26">
        <f>VLOOKUP(perfil&amp;"-"&amp;B42, Planilha2!$A:$D,4, FALSE )</f>
        <v>0.2</v>
      </c>
      <c r="D42" s="32">
        <f t="shared" si="0"/>
        <v>252</v>
      </c>
    </row>
    <row r="43" spans="2:4" x14ac:dyDescent="0.4">
      <c r="B43" s="23" t="s">
        <v>29</v>
      </c>
      <c r="C43" s="26">
        <f>VLOOKUP(perfil&amp;"-"&amp;B43, Planilha2!$A:$D,4, FALSE )</f>
        <v>0.1</v>
      </c>
      <c r="D43" s="32">
        <f t="shared" si="0"/>
        <v>126</v>
      </c>
    </row>
    <row r="44" spans="2:4" x14ac:dyDescent="0.4">
      <c r="B44" s="28"/>
      <c r="C44" s="29"/>
      <c r="D44" s="30">
        <f>SUM(D38:D43)</f>
        <v>1260</v>
      </c>
    </row>
    <row r="59" spans="2:4" ht="17.399999999999999" thickBot="1" x14ac:dyDescent="0.45"/>
    <row r="60" spans="2:4" ht="32.4" x14ac:dyDescent="0.4">
      <c r="B60" s="43" t="s">
        <v>36</v>
      </c>
      <c r="C60" s="44"/>
      <c r="D60" s="45"/>
    </row>
    <row r="61" spans="2:4" ht="19.2" x14ac:dyDescent="0.4">
      <c r="B61" s="46" t="s">
        <v>38</v>
      </c>
      <c r="C61" s="47"/>
      <c r="D61" s="16">
        <f>patrimonio-Aporte*qtd_anos*12</f>
        <v>155338.10778801696</v>
      </c>
    </row>
    <row r="62" spans="2:4" ht="19.2" x14ac:dyDescent="0.4">
      <c r="B62" s="46" t="s">
        <v>37</v>
      </c>
      <c r="C62" s="47"/>
      <c r="D62" s="16">
        <f>lucro_bruto*0.2</f>
        <v>31067.621557603394</v>
      </c>
    </row>
    <row r="63" spans="2:4" ht="19.2" x14ac:dyDescent="0.4">
      <c r="B63" s="46" t="s">
        <v>39</v>
      </c>
      <c r="C63" s="47"/>
      <c r="D63" s="16">
        <f>lucro_bruto-imposto_renda</f>
        <v>124270.48623041357</v>
      </c>
    </row>
    <row r="64" spans="2:4" ht="19.8" thickBot="1" x14ac:dyDescent="0.45">
      <c r="B64" s="48" t="s">
        <v>40</v>
      </c>
      <c r="C64" s="49"/>
      <c r="D64" s="19">
        <f>patrimonio_liquido/((1+inflacao)^qtd_anos)</f>
        <v>80021.206143096628</v>
      </c>
    </row>
  </sheetData>
  <mergeCells count="17">
    <mergeCell ref="A2:E7"/>
    <mergeCell ref="B12:C12"/>
    <mergeCell ref="B21:C21"/>
    <mergeCell ref="B25:C25"/>
    <mergeCell ref="B15:D15"/>
    <mergeCell ref="B16:C16"/>
    <mergeCell ref="B17:C17"/>
    <mergeCell ref="B18:C18"/>
    <mergeCell ref="B19:C19"/>
    <mergeCell ref="B9:D9"/>
    <mergeCell ref="B10:C10"/>
    <mergeCell ref="B11:C11"/>
    <mergeCell ref="B60:D60"/>
    <mergeCell ref="B61:C61"/>
    <mergeCell ref="B62:C62"/>
    <mergeCell ref="B63:C63"/>
    <mergeCell ref="B64:C64"/>
  </mergeCells>
  <dataValidations count="1">
    <dataValidation type="list" allowBlank="1" showInputMessage="1" showErrorMessage="1" sqref="C34" xr:uid="{BE1BEE3C-B3AA-4AF4-9F56-C87964E5A30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BA5E-C3DB-4196-B16E-8FEA1BF3FF29}">
  <dimension ref="A4:H22"/>
  <sheetViews>
    <sheetView workbookViewId="0">
      <selection activeCell="E20" sqref="E20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9.44140625" bestFit="1" customWidth="1"/>
    <col min="7" max="7" width="17.21875" bestFit="1" customWidth="1"/>
  </cols>
  <sheetData>
    <row r="4" spans="1:8" x14ac:dyDescent="0.3">
      <c r="A4" s="1" t="s">
        <v>31</v>
      </c>
      <c r="B4" s="1" t="s">
        <v>20</v>
      </c>
      <c r="C4" s="1" t="s">
        <v>21</v>
      </c>
      <c r="D4" s="1" t="s">
        <v>30</v>
      </c>
    </row>
    <row r="5" spans="1:8" ht="16.8" x14ac:dyDescent="0.3">
      <c r="A5" s="1" t="str">
        <f>B5&amp;"-"&amp;C5</f>
        <v>Conservador-TIJOLO</v>
      </c>
      <c r="B5" s="1" t="s">
        <v>18</v>
      </c>
      <c r="C5" s="23" t="s">
        <v>25</v>
      </c>
      <c r="D5" s="35">
        <v>0.5</v>
      </c>
      <c r="H5" t="s">
        <v>30</v>
      </c>
    </row>
    <row r="6" spans="1:8" ht="16.8" x14ac:dyDescent="0.3">
      <c r="A6" s="1" t="str">
        <f t="shared" ref="A6:A22" si="0">B6&amp;"-"&amp;C6</f>
        <v>Conservador-PAPEL</v>
      </c>
      <c r="B6" s="1" t="s">
        <v>18</v>
      </c>
      <c r="C6" s="23" t="s">
        <v>24</v>
      </c>
      <c r="D6" s="35">
        <v>0.3</v>
      </c>
      <c r="G6" s="10" t="s">
        <v>33</v>
      </c>
      <c r="H6" s="37">
        <f>VLOOKUP(G6, A:D, 4,FALSE )</f>
        <v>0.35</v>
      </c>
    </row>
    <row r="7" spans="1:8" ht="16.8" x14ac:dyDescent="0.3">
      <c r="A7" s="1" t="str">
        <f t="shared" si="0"/>
        <v>Conservador-HÍBRIDOS</v>
      </c>
      <c r="B7" s="1" t="s">
        <v>18</v>
      </c>
      <c r="C7" s="23" t="s">
        <v>26</v>
      </c>
      <c r="D7" s="35">
        <v>0.1</v>
      </c>
    </row>
    <row r="8" spans="1:8" ht="16.8" x14ac:dyDescent="0.3">
      <c r="A8" s="1" t="str">
        <f t="shared" si="0"/>
        <v>Conservador-FOFs</v>
      </c>
      <c r="B8" s="1" t="s">
        <v>18</v>
      </c>
      <c r="C8" s="23" t="s">
        <v>27</v>
      </c>
      <c r="D8" s="35">
        <v>0.1</v>
      </c>
    </row>
    <row r="9" spans="1:8" ht="16.8" x14ac:dyDescent="0.3">
      <c r="A9" s="1" t="str">
        <f t="shared" si="0"/>
        <v>Conservador-DESENVOLVIMENTO</v>
      </c>
      <c r="B9" s="1" t="s">
        <v>18</v>
      </c>
      <c r="C9" s="23" t="s">
        <v>28</v>
      </c>
      <c r="D9" s="35">
        <v>0</v>
      </c>
    </row>
    <row r="10" spans="1:8" ht="17.399999999999999" thickBot="1" x14ac:dyDescent="0.35">
      <c r="A10" s="33" t="str">
        <f t="shared" si="0"/>
        <v>Conservador-HOTELARIAS</v>
      </c>
      <c r="B10" s="33" t="s">
        <v>18</v>
      </c>
      <c r="C10" s="34" t="s">
        <v>29</v>
      </c>
      <c r="D10" s="36">
        <v>0</v>
      </c>
    </row>
    <row r="11" spans="1:8" ht="16.8" x14ac:dyDescent="0.3">
      <c r="A11" s="1" t="str">
        <f t="shared" si="0"/>
        <v>Moderado-TIJOLO</v>
      </c>
      <c r="B11" s="1" t="s">
        <v>17</v>
      </c>
      <c r="C11" s="23" t="s">
        <v>25</v>
      </c>
      <c r="D11" s="35">
        <v>0.35</v>
      </c>
    </row>
    <row r="12" spans="1:8" ht="16.8" x14ac:dyDescent="0.3">
      <c r="A12" s="1" t="str">
        <f t="shared" si="0"/>
        <v>Moderado-PAPEL</v>
      </c>
      <c r="B12" s="1" t="s">
        <v>17</v>
      </c>
      <c r="C12" s="23" t="s">
        <v>24</v>
      </c>
      <c r="D12" s="35">
        <v>0.32</v>
      </c>
    </row>
    <row r="13" spans="1:8" ht="16.8" x14ac:dyDescent="0.3">
      <c r="A13" s="1" t="str">
        <f t="shared" si="0"/>
        <v>Moderado-HÍBRIDOS</v>
      </c>
      <c r="B13" s="1" t="s">
        <v>17</v>
      </c>
      <c r="C13" s="23" t="s">
        <v>26</v>
      </c>
      <c r="D13" s="35">
        <v>0.08</v>
      </c>
    </row>
    <row r="14" spans="1:8" ht="16.8" x14ac:dyDescent="0.3">
      <c r="A14" s="1" t="str">
        <f t="shared" si="0"/>
        <v>Moderado-FOFs</v>
      </c>
      <c r="B14" s="1" t="s">
        <v>17</v>
      </c>
      <c r="C14" s="23" t="s">
        <v>27</v>
      </c>
      <c r="D14" s="35">
        <v>0.05</v>
      </c>
    </row>
    <row r="15" spans="1:8" ht="16.8" x14ac:dyDescent="0.3">
      <c r="A15" s="1" t="str">
        <f t="shared" si="0"/>
        <v>Moderado-DESENVOLVIMENTO</v>
      </c>
      <c r="B15" s="1" t="s">
        <v>17</v>
      </c>
      <c r="C15" s="23" t="s">
        <v>28</v>
      </c>
      <c r="D15" s="35">
        <v>0.1</v>
      </c>
    </row>
    <row r="16" spans="1:8" ht="17.399999999999999" thickBot="1" x14ac:dyDescent="0.35">
      <c r="A16" s="33" t="str">
        <f t="shared" si="0"/>
        <v>Moderado-HOTELARIAS</v>
      </c>
      <c r="B16" s="33" t="s">
        <v>17</v>
      </c>
      <c r="C16" s="34" t="s">
        <v>29</v>
      </c>
      <c r="D16" s="36">
        <v>0.1</v>
      </c>
    </row>
    <row r="17" spans="1:4" ht="16.8" x14ac:dyDescent="0.3">
      <c r="A17" s="1" t="str">
        <f t="shared" si="0"/>
        <v>Agressivo-TIJOLO</v>
      </c>
      <c r="B17" s="1" t="s">
        <v>32</v>
      </c>
      <c r="C17" s="23" t="s">
        <v>25</v>
      </c>
      <c r="D17" s="31">
        <v>0.1</v>
      </c>
    </row>
    <row r="18" spans="1:4" ht="16.8" x14ac:dyDescent="0.3">
      <c r="A18" s="1" t="str">
        <f t="shared" si="0"/>
        <v>Agressivo-PAPEL</v>
      </c>
      <c r="B18" t="s">
        <v>32</v>
      </c>
      <c r="C18" s="23" t="s">
        <v>24</v>
      </c>
      <c r="D18" s="31">
        <v>0.5</v>
      </c>
    </row>
    <row r="19" spans="1:4" ht="16.8" x14ac:dyDescent="0.3">
      <c r="A19" s="1" t="str">
        <f t="shared" si="0"/>
        <v>Agressivo-HÍBRIDOS</v>
      </c>
      <c r="B19" t="s">
        <v>32</v>
      </c>
      <c r="C19" s="23" t="s">
        <v>26</v>
      </c>
      <c r="D19" s="31">
        <v>0.05</v>
      </c>
    </row>
    <row r="20" spans="1:4" ht="16.8" x14ac:dyDescent="0.3">
      <c r="A20" s="1" t="str">
        <f t="shared" si="0"/>
        <v>Agressivo-FOFs</v>
      </c>
      <c r="B20" t="s">
        <v>32</v>
      </c>
      <c r="C20" s="23" t="s">
        <v>27</v>
      </c>
      <c r="D20" s="31">
        <v>0.05</v>
      </c>
    </row>
    <row r="21" spans="1:4" ht="16.8" x14ac:dyDescent="0.3">
      <c r="A21" s="1" t="str">
        <f t="shared" si="0"/>
        <v>Agressivo-DESENVOLVIMENTO</v>
      </c>
      <c r="B21" t="s">
        <v>32</v>
      </c>
      <c r="C21" s="23" t="s">
        <v>28</v>
      </c>
      <c r="D21" s="31">
        <v>0.2</v>
      </c>
    </row>
    <row r="22" spans="1:4" ht="16.8" x14ac:dyDescent="0.3">
      <c r="A22" s="1" t="str">
        <f t="shared" si="0"/>
        <v>Agressivo-HOTELARIAS</v>
      </c>
      <c r="B22" t="s">
        <v>32</v>
      </c>
      <c r="C22" s="23" t="s">
        <v>29</v>
      </c>
      <c r="D22" s="3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APP</vt:lpstr>
      <vt:lpstr>Planilha2</vt:lpstr>
      <vt:lpstr>Aporte</vt:lpstr>
      <vt:lpstr>imposto_renda</vt:lpstr>
      <vt:lpstr>inflacao</vt:lpstr>
      <vt:lpstr>lucro_bruto</vt:lpstr>
      <vt:lpstr>patrimonio</vt:lpstr>
      <vt:lpstr>patrimonio_liquido</vt:lpstr>
      <vt:lpstr>perfil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dos Santos Porta</dc:creator>
  <cp:lastModifiedBy>Andre dos Santos Porta</cp:lastModifiedBy>
  <cp:lastPrinted>2026-10-03T17:54:49Z</cp:lastPrinted>
  <dcterms:created xsi:type="dcterms:W3CDTF">2026-10-03T17:49:13Z</dcterms:created>
  <dcterms:modified xsi:type="dcterms:W3CDTF">2026-10-04T22:10:35Z</dcterms:modified>
</cp:coreProperties>
</file>